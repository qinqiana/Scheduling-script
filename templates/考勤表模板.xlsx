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455" tabRatio="788"/>
  </bookViews>
  <sheets>
    <sheet name="外包-省综调（入网审核岗考勤）" sheetId="5" r:id="rId1"/>
  </sheets>
  <definedNames>
    <definedName name="_xlnm._FilterDatabase" localSheetId="0" hidden="1">'外包-省综调（入网审核岗考勤）'!$A$2:$AY$19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<sst xmlns="http://schemas.openxmlformats.org/spreadsheetml/2006/main" count="53" uniqueCount="40">
  <si>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序号</t>
  </si>
  <si>
    <t>姓名</t>
  </si>
  <si>
    <t>支撑地市</t>
  </si>
  <si>
    <t>日                                        期</t>
  </si>
  <si>
    <t>天数</t>
  </si>
  <si>
    <t>签名</t>
  </si>
  <si>
    <t>本月出勤</t>
  </si>
  <si>
    <t>早班</t>
  </si>
  <si>
    <t>晚班</t>
  </si>
  <si>
    <t>加班</t>
  </si>
  <si>
    <t>病假</t>
  </si>
  <si>
    <t>事假</t>
  </si>
  <si>
    <t>年休</t>
  </si>
  <si>
    <t>出差</t>
  </si>
  <si>
    <t>补休</t>
  </si>
  <si>
    <t>育儿假</t>
  </si>
  <si>
    <t>婚假</t>
  </si>
  <si>
    <t>陪产假</t>
  </si>
  <si>
    <t>护理假</t>
  </si>
  <si>
    <t>旷工</t>
  </si>
  <si>
    <t>其他</t>
  </si>
  <si>
    <t>冯宝儿</t>
  </si>
  <si>
    <t>广州</t>
  </si>
  <si>
    <t>钟梓枫</t>
  </si>
  <si>
    <t>钟龙</t>
  </si>
  <si>
    <t>姚炎兰</t>
  </si>
  <si>
    <t>骆成奕</t>
  </si>
  <si>
    <t>毛佩凤</t>
  </si>
  <si>
    <t>刘文达</t>
  </si>
  <si>
    <t>佛山</t>
  </si>
  <si>
    <t>陈彩怡</t>
  </si>
  <si>
    <t>周秋艳</t>
  </si>
  <si>
    <t>杨礼</t>
  </si>
  <si>
    <t>俞观权</t>
  </si>
  <si>
    <t>中山清远</t>
  </si>
  <si>
    <t>陆威婷</t>
  </si>
  <si>
    <t>李珊珊</t>
  </si>
  <si>
    <t>江金岚</t>
  </si>
  <si>
    <t>合计</t>
  </si>
  <si>
    <t>记工员：秦笑乾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</si>
</sst>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 [$€-2]* #,##0.00_ ;_ [$€-2]* \-#,##0.00_ ;_ [$€-2]* &quot;-&quot;??_ "/>
    <numFmt numFmtId="178" formatCode="yyyy&quot;年&quot;m&quot;月&quot;;@"/>
    <numFmt numFmtId="179" formatCode="0.00_ "/>
  </numFmts>
  <fonts count="29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color indexed="8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맑은 고딕"/>
      <charset val="134"/>
    </font>
    <font>
      <sz val="11"/>
      <color indexed="8"/>
      <name val="맑은 고딕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10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78" fontId="4" fillId="3" borderId="6" xfId="0" applyNumberFormat="1" applyFont="1" applyFill="1" applyBorder="1" applyAlignment="1">
      <alignment horizontal="center" vertical="center" wrapText="1"/>
    </xf>
    <xf numFmtId="178" fontId="4" fillId="3" borderId="7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 wrapText="1"/>
    </xf>
    <xf numFmtId="178" fontId="4" fillId="3" borderId="8" xfId="0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178" fontId="4" fillId="4" borderId="6" xfId="0" applyNumberFormat="1" applyFont="1" applyFill="1" applyBorder="1" applyAlignment="1">
      <alignment horizontal="center" vertical="center" wrapText="1"/>
    </xf>
    <xf numFmtId="178" fontId="4" fillId="4" borderId="7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 wrapText="1"/>
    </xf>
    <xf numFmtId="178" fontId="4" fillId="5" borderId="8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178" fontId="4" fillId="5" borderId="7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Fill="1" applyAlignment="1" applyProtection="1">
      <alignment horizontal="justify" vertical="center"/>
    </xf>
    <xf numFmtId="0" fontId="1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179" fontId="0" fillId="0" borderId="0" xfId="0" applyNumberFormat="1" applyFill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강조색4" xfId="51"/>
    <cellStyle name="20% - 강조색1" xfId="52"/>
    <cellStyle name="강조색2" xfId="53"/>
    <cellStyle name="강조색1" xfId="54"/>
    <cellStyle name="百分比 3" xfId="55"/>
    <cellStyle name="常规 11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8"/>
    <pageSetUpPr fitToPage="1"/>
  </sheetPr>
  <dimension ref="A1:AY19"/>
  <sheetViews>
    <sheetView tabSelected="1" workbookViewId="0">
      <pane ySplit="2" topLeftCell="A3" activePane="bottomLeft" state="frozen"/>
      <selection/>
      <selection pane="bottomLeft" activeCell="Y13" sqref="Y13"/>
    </sheetView>
  </sheetViews>
  <sheetFormatPr defaultColWidth="8.88495575221239" defaultRowHeight="13.5"/>
  <cols>
    <col min="1" max="1" width="4.55752212389381" style="4" customWidth="1"/>
    <col min="2" max="3" width="8.88495575221239" style="4"/>
    <col min="4" max="34" width="3.66371681415929" style="4" customWidth="1"/>
    <col min="35" max="35" width="5.88495575221239" style="4" customWidth="1"/>
    <col min="36" max="37" width="4.51327433628319" style="4" customWidth="1"/>
    <col min="38" max="38" width="3.46017699115044" style="4" customWidth="1"/>
    <col min="39" max="40" width="3.13274336283186" style="4" customWidth="1"/>
    <col min="41" max="42" width="4.30088495575221" style="4" customWidth="1"/>
    <col min="43" max="43" width="3.45132743362832" style="4" customWidth="1"/>
    <col min="44" max="47" width="3.13274336283186" style="4" customWidth="1"/>
    <col min="48" max="48" width="3.53097345132743" style="4" customWidth="1"/>
    <col min="49" max="49" width="3.06194690265487" style="4" customWidth="1"/>
    <col min="50" max="50" width="14.8761061946903" style="4" customWidth="1"/>
    <col min="51" max="51" width="12.7964601769912" style="4"/>
    <col min="52" max="16384" width="8.88495575221239" style="4"/>
  </cols>
  <sheetData>
    <row r="1" s="1" customFormat="1" spans="1:51">
      <c r="A1" s="5" t="s">
        <v>0</v>
      </c>
      <c r="B1" s="6" t="s">
        <v>1</v>
      </c>
      <c r="C1" s="7" t="s">
        <v>2</v>
      </c>
      <c r="D1" s="8" t="s">
        <v>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9" t="s">
        <v>4</v>
      </c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6" t="s">
        <v>5</v>
      </c>
      <c r="AY1" s="50"/>
    </row>
    <row r="2" s="2" customFormat="1" ht="38.25" spans="1:51">
      <c r="A2" s="9"/>
      <c r="B2" s="6"/>
      <c r="C2" s="10"/>
      <c r="D2" s="11">
        <v>1</v>
      </c>
      <c r="E2" s="12">
        <v>2</v>
      </c>
      <c r="F2" s="12">
        <v>3</v>
      </c>
      <c r="G2" s="13">
        <v>4</v>
      </c>
      <c r="H2" s="13">
        <v>5</v>
      </c>
      <c r="I2" s="12">
        <v>6</v>
      </c>
      <c r="J2" s="12">
        <v>7</v>
      </c>
      <c r="K2" s="12">
        <v>8</v>
      </c>
      <c r="L2" s="12">
        <v>9</v>
      </c>
      <c r="M2" s="12">
        <v>10</v>
      </c>
      <c r="N2" s="13">
        <v>11</v>
      </c>
      <c r="O2" s="13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3">
        <v>18</v>
      </c>
      <c r="V2" s="13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3">
        <v>25</v>
      </c>
      <c r="AC2" s="13">
        <v>26</v>
      </c>
      <c r="AD2" s="12">
        <v>27</v>
      </c>
      <c r="AE2" s="12">
        <v>28</v>
      </c>
      <c r="AF2" s="12">
        <v>29</v>
      </c>
      <c r="AG2" s="12">
        <v>30</v>
      </c>
      <c r="AH2" s="12">
        <v>31</v>
      </c>
      <c r="AI2" s="44" t="s">
        <v>6</v>
      </c>
      <c r="AJ2" s="44" t="s">
        <v>7</v>
      </c>
      <c r="AK2" s="44" t="s">
        <v>8</v>
      </c>
      <c r="AL2" s="45" t="s">
        <v>9</v>
      </c>
      <c r="AM2" s="45" t="s">
        <v>10</v>
      </c>
      <c r="AN2" s="45" t="s">
        <v>11</v>
      </c>
      <c r="AO2" s="45" t="s">
        <v>12</v>
      </c>
      <c r="AP2" s="45" t="s">
        <v>13</v>
      </c>
      <c r="AQ2" s="45" t="s">
        <v>14</v>
      </c>
      <c r="AR2" s="45" t="s">
        <v>15</v>
      </c>
      <c r="AS2" s="45" t="s">
        <v>16</v>
      </c>
      <c r="AT2" s="45" t="s">
        <v>17</v>
      </c>
      <c r="AU2" s="45" t="s">
        <v>18</v>
      </c>
      <c r="AV2" s="45" t="s">
        <v>19</v>
      </c>
      <c r="AW2" s="45" t="s">
        <v>20</v>
      </c>
      <c r="AX2" s="6"/>
      <c r="AY2" s="50"/>
    </row>
    <row r="3" s="3" customFormat="1" ht="27" customHeight="1" spans="1:50">
      <c r="A3" s="14">
        <v>1</v>
      </c>
      <c r="B3" s="15" t="s">
        <v>21</v>
      </c>
      <c r="C3" s="16" t="s">
        <v>22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46">
        <f t="shared" ref="AI3:AI8" si="0">COUNTIF(D3:AH3,"早")+COUNTIF(D3:AH3,"晚")+COUNTIF(D3:AH3,"8")+COUNTIF(D3:AH3,"*出差*")+COUNTIF(D3:AH3,"*节加*")</f>
        <v>0</v>
      </c>
      <c r="AJ3" s="46">
        <f t="shared" ref="AJ3:AJ8" si="1">COUNTIF($D3:$AH3,"早")</f>
        <v>0</v>
      </c>
      <c r="AK3" s="46">
        <f t="shared" ref="AK3:AK8" si="2">COUNTIF($D3:$AH3,"晚")</f>
        <v>0</v>
      </c>
      <c r="AL3" s="47">
        <f t="shared" ref="AL3:AL8" si="3">COUNTIF($D3:$AH3,"节加")</f>
        <v>0</v>
      </c>
      <c r="AM3" s="47">
        <f t="shared" ref="AM3:AM8" si="4">COUNTIF($D3:$AH3,"病假")</f>
        <v>0</v>
      </c>
      <c r="AN3" s="47">
        <f t="shared" ref="AN3:AN8" si="5">COUNTIF($D3:$AH3,"事假")</f>
        <v>0</v>
      </c>
      <c r="AO3" s="47">
        <f t="shared" ref="AO3:AO8" si="6">COUNTIF($D3:$AH3,"年休")</f>
        <v>0</v>
      </c>
      <c r="AP3" s="47">
        <f t="shared" ref="AP3:AP8" si="7">COUNTIF($D3:$AH3,"出差")</f>
        <v>0</v>
      </c>
      <c r="AQ3" s="47">
        <f t="shared" ref="AQ3:AQ8" si="8">COUNTIF($D3:$AH3,"补休")</f>
        <v>0</v>
      </c>
      <c r="AR3" s="47">
        <f t="shared" ref="AR3:AR8" si="9">COUNTIF($D3:$AH3,"育儿假")</f>
        <v>0</v>
      </c>
      <c r="AS3" s="47">
        <f t="shared" ref="AS3:AS8" si="10">COUNTIF($D3:$AH3,"婚假")</f>
        <v>0</v>
      </c>
      <c r="AT3" s="47">
        <f t="shared" ref="AT3:AT8" si="11">COUNTIF($D3:$AH3,"陪产假")</f>
        <v>0</v>
      </c>
      <c r="AU3" s="47">
        <f t="shared" ref="AU3:AU8" si="12">COUNTIF($D3:$AH3,"护理假")</f>
        <v>0</v>
      </c>
      <c r="AV3" s="47">
        <f t="shared" ref="AV3:AV8" si="13">COUNTIF($D3:$AH3,"旷工")</f>
        <v>0</v>
      </c>
      <c r="AW3" s="47">
        <f t="shared" ref="AW3:AW8" si="14">COUNTIF($D3:$AH3,"旷工")</f>
        <v>0</v>
      </c>
      <c r="AX3" s="51"/>
    </row>
    <row r="4" s="3" customFormat="1" ht="27" customHeight="1" spans="1:50">
      <c r="A4" s="14">
        <v>2</v>
      </c>
      <c r="B4" s="18" t="s">
        <v>23</v>
      </c>
      <c r="C4" s="16" t="s">
        <v>22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46">
        <f t="shared" si="0"/>
        <v>0</v>
      </c>
      <c r="AJ4" s="46">
        <f t="shared" si="1"/>
        <v>0</v>
      </c>
      <c r="AK4" s="46">
        <f t="shared" si="2"/>
        <v>0</v>
      </c>
      <c r="AL4" s="47">
        <f t="shared" si="3"/>
        <v>0</v>
      </c>
      <c r="AM4" s="47">
        <f t="shared" si="4"/>
        <v>0</v>
      </c>
      <c r="AN4" s="47">
        <f t="shared" si="5"/>
        <v>0</v>
      </c>
      <c r="AO4" s="47">
        <f t="shared" si="6"/>
        <v>0</v>
      </c>
      <c r="AP4" s="47">
        <f t="shared" si="7"/>
        <v>0</v>
      </c>
      <c r="AQ4" s="47">
        <f t="shared" si="8"/>
        <v>0</v>
      </c>
      <c r="AR4" s="47">
        <f t="shared" si="9"/>
        <v>0</v>
      </c>
      <c r="AS4" s="47">
        <f t="shared" si="10"/>
        <v>0</v>
      </c>
      <c r="AT4" s="47">
        <f t="shared" si="11"/>
        <v>0</v>
      </c>
      <c r="AU4" s="47">
        <f t="shared" si="12"/>
        <v>0</v>
      </c>
      <c r="AV4" s="47">
        <f t="shared" si="13"/>
        <v>0</v>
      </c>
      <c r="AW4" s="47">
        <f t="shared" si="14"/>
        <v>0</v>
      </c>
      <c r="AX4" s="51"/>
    </row>
    <row r="5" s="3" customFormat="1" ht="27" customHeight="1" spans="1:50">
      <c r="A5" s="14">
        <v>3</v>
      </c>
      <c r="B5" s="18" t="s">
        <v>24</v>
      </c>
      <c r="C5" s="19" t="s">
        <v>22</v>
      </c>
      <c r="D5" s="17"/>
      <c r="E5" s="17"/>
      <c r="F5" s="17"/>
      <c r="G5" s="20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0"/>
      <c r="U5" s="20"/>
      <c r="V5" s="17"/>
      <c r="W5" s="17"/>
      <c r="X5" s="17"/>
      <c r="Y5" s="17"/>
      <c r="Z5" s="20"/>
      <c r="AA5" s="20"/>
      <c r="AB5" s="20"/>
      <c r="AC5" s="17"/>
      <c r="AD5" s="17"/>
      <c r="AE5" s="17"/>
      <c r="AF5" s="17"/>
      <c r="AG5" s="17"/>
      <c r="AH5" s="17"/>
      <c r="AI5" s="46">
        <f t="shared" si="0"/>
        <v>0</v>
      </c>
      <c r="AJ5" s="46">
        <f t="shared" si="1"/>
        <v>0</v>
      </c>
      <c r="AK5" s="46">
        <f t="shared" si="2"/>
        <v>0</v>
      </c>
      <c r="AL5" s="47">
        <f t="shared" si="3"/>
        <v>0</v>
      </c>
      <c r="AM5" s="47">
        <f t="shared" si="4"/>
        <v>0</v>
      </c>
      <c r="AN5" s="47">
        <f t="shared" si="5"/>
        <v>0</v>
      </c>
      <c r="AO5" s="47">
        <f t="shared" si="6"/>
        <v>0</v>
      </c>
      <c r="AP5" s="47">
        <f t="shared" si="7"/>
        <v>0</v>
      </c>
      <c r="AQ5" s="47">
        <f t="shared" si="8"/>
        <v>0</v>
      </c>
      <c r="AR5" s="47">
        <f t="shared" si="9"/>
        <v>0</v>
      </c>
      <c r="AS5" s="47">
        <f t="shared" si="10"/>
        <v>0</v>
      </c>
      <c r="AT5" s="47">
        <f t="shared" si="11"/>
        <v>0</v>
      </c>
      <c r="AU5" s="47">
        <f t="shared" si="12"/>
        <v>0</v>
      </c>
      <c r="AV5" s="47">
        <f t="shared" si="13"/>
        <v>0</v>
      </c>
      <c r="AW5" s="47">
        <f t="shared" si="14"/>
        <v>0</v>
      </c>
      <c r="AX5" s="51"/>
    </row>
    <row r="6" s="3" customFormat="1" ht="27" customHeight="1" spans="1:50">
      <c r="A6" s="14">
        <v>4</v>
      </c>
      <c r="B6" s="21" t="s">
        <v>25</v>
      </c>
      <c r="C6" s="22" t="s">
        <v>22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46">
        <f t="shared" si="0"/>
        <v>0</v>
      </c>
      <c r="AJ6" s="46">
        <f t="shared" si="1"/>
        <v>0</v>
      </c>
      <c r="AK6" s="46">
        <f t="shared" si="2"/>
        <v>0</v>
      </c>
      <c r="AL6" s="47">
        <f t="shared" si="3"/>
        <v>0</v>
      </c>
      <c r="AM6" s="47">
        <f t="shared" si="4"/>
        <v>0</v>
      </c>
      <c r="AN6" s="47">
        <f t="shared" si="5"/>
        <v>0</v>
      </c>
      <c r="AO6" s="47">
        <f t="shared" si="6"/>
        <v>0</v>
      </c>
      <c r="AP6" s="47">
        <f t="shared" si="7"/>
        <v>0</v>
      </c>
      <c r="AQ6" s="47">
        <f t="shared" si="8"/>
        <v>0</v>
      </c>
      <c r="AR6" s="47">
        <f t="shared" si="9"/>
        <v>0</v>
      </c>
      <c r="AS6" s="47">
        <f t="shared" si="10"/>
        <v>0</v>
      </c>
      <c r="AT6" s="47">
        <f t="shared" si="11"/>
        <v>0</v>
      </c>
      <c r="AU6" s="47">
        <f t="shared" si="12"/>
        <v>0</v>
      </c>
      <c r="AV6" s="47">
        <f t="shared" si="13"/>
        <v>0</v>
      </c>
      <c r="AW6" s="47">
        <f t="shared" si="14"/>
        <v>0</v>
      </c>
      <c r="AX6" s="51"/>
    </row>
    <row r="7" s="3" customFormat="1" ht="27" customHeight="1" spans="1:50">
      <c r="A7" s="14">
        <v>5</v>
      </c>
      <c r="B7" s="21" t="s">
        <v>26</v>
      </c>
      <c r="C7" s="19" t="s">
        <v>22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42"/>
      <c r="AA7" s="42"/>
      <c r="AB7" s="42"/>
      <c r="AC7" s="17"/>
      <c r="AD7" s="42"/>
      <c r="AE7" s="42"/>
      <c r="AF7" s="42"/>
      <c r="AG7" s="42"/>
      <c r="AH7" s="42"/>
      <c r="AI7" s="46">
        <f t="shared" si="0"/>
        <v>0</v>
      </c>
      <c r="AJ7" s="46">
        <f t="shared" si="1"/>
        <v>0</v>
      </c>
      <c r="AK7" s="46">
        <f t="shared" si="2"/>
        <v>0</v>
      </c>
      <c r="AL7" s="47">
        <f t="shared" si="3"/>
        <v>0</v>
      </c>
      <c r="AM7" s="47">
        <f t="shared" si="4"/>
        <v>0</v>
      </c>
      <c r="AN7" s="47">
        <f t="shared" si="5"/>
        <v>0</v>
      </c>
      <c r="AO7" s="47">
        <f t="shared" si="6"/>
        <v>0</v>
      </c>
      <c r="AP7" s="47">
        <f t="shared" si="7"/>
        <v>0</v>
      </c>
      <c r="AQ7" s="47">
        <f t="shared" si="8"/>
        <v>0</v>
      </c>
      <c r="AR7" s="47">
        <f t="shared" si="9"/>
        <v>0</v>
      </c>
      <c r="AS7" s="47">
        <f t="shared" si="10"/>
        <v>0</v>
      </c>
      <c r="AT7" s="47">
        <f t="shared" si="11"/>
        <v>0</v>
      </c>
      <c r="AU7" s="47">
        <f t="shared" si="12"/>
        <v>0</v>
      </c>
      <c r="AV7" s="47">
        <f t="shared" si="13"/>
        <v>0</v>
      </c>
      <c r="AW7" s="47">
        <f t="shared" si="14"/>
        <v>0</v>
      </c>
      <c r="AX7" s="51"/>
    </row>
    <row r="8" s="3" customFormat="1" ht="27" customHeight="1" spans="1:50">
      <c r="A8" s="14">
        <v>6</v>
      </c>
      <c r="B8" s="21" t="s">
        <v>27</v>
      </c>
      <c r="C8" s="19" t="s">
        <v>22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42"/>
      <c r="AA8" s="42"/>
      <c r="AB8" s="42"/>
      <c r="AC8" s="17"/>
      <c r="AD8" s="42"/>
      <c r="AE8" s="42"/>
      <c r="AF8" s="42"/>
      <c r="AG8" s="42"/>
      <c r="AH8" s="42"/>
      <c r="AI8" s="46">
        <f t="shared" si="0"/>
        <v>0</v>
      </c>
      <c r="AJ8" s="46">
        <f t="shared" si="1"/>
        <v>0</v>
      </c>
      <c r="AK8" s="46">
        <f t="shared" si="2"/>
        <v>0</v>
      </c>
      <c r="AL8" s="47">
        <f t="shared" si="3"/>
        <v>0</v>
      </c>
      <c r="AM8" s="47">
        <f t="shared" si="4"/>
        <v>0</v>
      </c>
      <c r="AN8" s="47">
        <f t="shared" si="5"/>
        <v>0</v>
      </c>
      <c r="AO8" s="47">
        <f t="shared" si="6"/>
        <v>0</v>
      </c>
      <c r="AP8" s="47">
        <f t="shared" si="7"/>
        <v>0</v>
      </c>
      <c r="AQ8" s="47">
        <f t="shared" si="8"/>
        <v>0</v>
      </c>
      <c r="AR8" s="47">
        <f t="shared" si="9"/>
        <v>0</v>
      </c>
      <c r="AS8" s="47">
        <f t="shared" si="10"/>
        <v>0</v>
      </c>
      <c r="AT8" s="47">
        <f t="shared" si="11"/>
        <v>0</v>
      </c>
      <c r="AU8" s="47">
        <f t="shared" si="12"/>
        <v>0</v>
      </c>
      <c r="AV8" s="47">
        <f t="shared" si="13"/>
        <v>0</v>
      </c>
      <c r="AW8" s="47">
        <f t="shared" si="14"/>
        <v>0</v>
      </c>
      <c r="AX8" s="51"/>
    </row>
    <row r="9" s="3" customFormat="1" ht="27" customHeight="1" spans="1:50">
      <c r="A9" s="14">
        <v>7</v>
      </c>
      <c r="B9" s="23" t="s">
        <v>28</v>
      </c>
      <c r="C9" s="24" t="s">
        <v>29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46">
        <f t="shared" ref="AI9:AI12" si="15">COUNTIF(D9:AH9,"早")+COUNTIF(D9:AH9,"晚")+COUNTIF(D9:AH9,"8")+COUNTIF(D9:AH9,"*出差*")+COUNTIF(D9:AH9,"*节加*")</f>
        <v>0</v>
      </c>
      <c r="AJ9" s="46">
        <f t="shared" ref="AJ9:AJ12" si="16">COUNTIF($D9:$AH9,"早")</f>
        <v>0</v>
      </c>
      <c r="AK9" s="46">
        <f t="shared" ref="AK9:AK12" si="17">COUNTIF($D9:$AH9,"晚")</f>
        <v>0</v>
      </c>
      <c r="AL9" s="47">
        <f t="shared" ref="AL9:AL12" si="18">COUNTIF($D9:$AH9,"节加")</f>
        <v>0</v>
      </c>
      <c r="AM9" s="47">
        <f t="shared" ref="AM9:AM12" si="19">COUNTIF($D9:$AH9,"病假")</f>
        <v>0</v>
      </c>
      <c r="AN9" s="47">
        <f t="shared" ref="AN9:AN12" si="20">COUNTIF($D9:$AH9,"事假")</f>
        <v>0</v>
      </c>
      <c r="AO9" s="47">
        <f t="shared" ref="AO9:AO12" si="21">COUNTIF($D9:$AH9,"年休")</f>
        <v>0</v>
      </c>
      <c r="AP9" s="47">
        <f t="shared" ref="AP9:AP12" si="22">COUNTIF($D9:$AH9,"出差")</f>
        <v>0</v>
      </c>
      <c r="AQ9" s="47">
        <f t="shared" ref="AQ9:AQ12" si="23">COUNTIF($D9:$AH9,"补休")</f>
        <v>0</v>
      </c>
      <c r="AR9" s="47">
        <f t="shared" ref="AR9:AR12" si="24">COUNTIF($D9:$AH9,"育儿假")</f>
        <v>0</v>
      </c>
      <c r="AS9" s="47">
        <f t="shared" ref="AS9:AS12" si="25">COUNTIF($D9:$AH9,"婚假")</f>
        <v>0</v>
      </c>
      <c r="AT9" s="47">
        <f t="shared" ref="AT9:AT12" si="26">COUNTIF($D9:$AH9,"陪产假")</f>
        <v>0</v>
      </c>
      <c r="AU9" s="47">
        <f t="shared" ref="AU9:AU12" si="27">COUNTIF($D9:$AH9,"护理假")</f>
        <v>0</v>
      </c>
      <c r="AV9" s="47">
        <f t="shared" ref="AV9:AV12" si="28">COUNTIF($D9:$AH9,"旷工")</f>
        <v>0</v>
      </c>
      <c r="AW9" s="47">
        <f t="shared" ref="AW9:AW12" si="29">COUNTIF($D9:$AH9,"旷工")</f>
        <v>0</v>
      </c>
      <c r="AX9" s="51"/>
    </row>
    <row r="10" s="4" customFormat="1" ht="27" customHeight="1" spans="1:51">
      <c r="A10" s="14">
        <v>8</v>
      </c>
      <c r="B10" s="26" t="s">
        <v>30</v>
      </c>
      <c r="C10" s="24" t="s">
        <v>29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46">
        <f t="shared" si="15"/>
        <v>0</v>
      </c>
      <c r="AJ10" s="46">
        <f t="shared" si="16"/>
        <v>0</v>
      </c>
      <c r="AK10" s="46">
        <f t="shared" si="17"/>
        <v>0</v>
      </c>
      <c r="AL10" s="47">
        <f t="shared" si="18"/>
        <v>0</v>
      </c>
      <c r="AM10" s="47">
        <f t="shared" si="19"/>
        <v>0</v>
      </c>
      <c r="AN10" s="47">
        <f t="shared" si="20"/>
        <v>0</v>
      </c>
      <c r="AO10" s="47">
        <f t="shared" si="21"/>
        <v>0</v>
      </c>
      <c r="AP10" s="47">
        <f t="shared" si="22"/>
        <v>0</v>
      </c>
      <c r="AQ10" s="47">
        <f t="shared" si="23"/>
        <v>0</v>
      </c>
      <c r="AR10" s="47">
        <f t="shared" si="24"/>
        <v>0</v>
      </c>
      <c r="AS10" s="47">
        <f t="shared" si="25"/>
        <v>0</v>
      </c>
      <c r="AT10" s="47">
        <f t="shared" si="26"/>
        <v>0</v>
      </c>
      <c r="AU10" s="47">
        <f t="shared" si="27"/>
        <v>0</v>
      </c>
      <c r="AV10" s="47">
        <f t="shared" si="28"/>
        <v>0</v>
      </c>
      <c r="AW10" s="47">
        <f t="shared" si="29"/>
        <v>0</v>
      </c>
      <c r="AX10" s="52"/>
      <c r="AY10" s="53"/>
    </row>
    <row r="11" s="4" customFormat="1" ht="27" customHeight="1" spans="1:51">
      <c r="A11" s="14">
        <v>9</v>
      </c>
      <c r="B11" s="26" t="s">
        <v>31</v>
      </c>
      <c r="C11" s="24" t="s">
        <v>29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46">
        <f t="shared" si="15"/>
        <v>0</v>
      </c>
      <c r="AJ11" s="46">
        <f t="shared" si="16"/>
        <v>0</v>
      </c>
      <c r="AK11" s="46">
        <f t="shared" si="17"/>
        <v>0</v>
      </c>
      <c r="AL11" s="47">
        <f t="shared" si="18"/>
        <v>0</v>
      </c>
      <c r="AM11" s="47">
        <f t="shared" si="19"/>
        <v>0</v>
      </c>
      <c r="AN11" s="47">
        <f t="shared" si="20"/>
        <v>0</v>
      </c>
      <c r="AO11" s="47">
        <f t="shared" si="21"/>
        <v>0</v>
      </c>
      <c r="AP11" s="47">
        <f t="shared" si="22"/>
        <v>0</v>
      </c>
      <c r="AQ11" s="47">
        <f t="shared" si="23"/>
        <v>0</v>
      </c>
      <c r="AR11" s="47">
        <f t="shared" si="24"/>
        <v>0</v>
      </c>
      <c r="AS11" s="47">
        <f t="shared" si="25"/>
        <v>0</v>
      </c>
      <c r="AT11" s="47">
        <f t="shared" si="26"/>
        <v>0</v>
      </c>
      <c r="AU11" s="47">
        <f t="shared" si="27"/>
        <v>0</v>
      </c>
      <c r="AV11" s="47">
        <f t="shared" si="28"/>
        <v>0</v>
      </c>
      <c r="AW11" s="47">
        <f t="shared" si="29"/>
        <v>0</v>
      </c>
      <c r="AX11" s="52"/>
      <c r="AY11" s="53"/>
    </row>
    <row r="12" s="4" customFormat="1" ht="27" customHeight="1" spans="1:51">
      <c r="A12" s="14">
        <v>10</v>
      </c>
      <c r="B12" s="26" t="s">
        <v>32</v>
      </c>
      <c r="C12" s="24" t="s">
        <v>29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46">
        <f t="shared" si="15"/>
        <v>0</v>
      </c>
      <c r="AJ12" s="46">
        <f t="shared" si="16"/>
        <v>0</v>
      </c>
      <c r="AK12" s="46">
        <f t="shared" si="17"/>
        <v>0</v>
      </c>
      <c r="AL12" s="47">
        <f t="shared" si="18"/>
        <v>0</v>
      </c>
      <c r="AM12" s="47">
        <f t="shared" si="19"/>
        <v>0</v>
      </c>
      <c r="AN12" s="47">
        <f t="shared" si="20"/>
        <v>0</v>
      </c>
      <c r="AO12" s="47">
        <f t="shared" si="21"/>
        <v>0</v>
      </c>
      <c r="AP12" s="47">
        <f t="shared" si="22"/>
        <v>0</v>
      </c>
      <c r="AQ12" s="47">
        <f t="shared" si="23"/>
        <v>0</v>
      </c>
      <c r="AR12" s="47">
        <f t="shared" si="24"/>
        <v>0</v>
      </c>
      <c r="AS12" s="47">
        <f t="shared" si="25"/>
        <v>0</v>
      </c>
      <c r="AT12" s="47">
        <f t="shared" si="26"/>
        <v>0</v>
      </c>
      <c r="AU12" s="47">
        <f t="shared" si="27"/>
        <v>0</v>
      </c>
      <c r="AV12" s="47">
        <f t="shared" si="28"/>
        <v>0</v>
      </c>
      <c r="AW12" s="47">
        <f t="shared" si="29"/>
        <v>0</v>
      </c>
      <c r="AX12" s="52"/>
      <c r="AY12" s="53"/>
    </row>
    <row r="13" s="4" customFormat="1" ht="27" customHeight="1" spans="1:51">
      <c r="A13" s="14">
        <v>11</v>
      </c>
      <c r="B13" s="27" t="s">
        <v>33</v>
      </c>
      <c r="C13" s="28" t="s">
        <v>34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46">
        <f t="shared" ref="AI13:AI18" si="30">COUNTIF(D13:AH13,"早")+COUNTIF(D13:AH13,"晚")+COUNTIF(D13:AH13,"8")+COUNTIF(D13:AH13,"*出差*")+COUNTIF(D13:AH13,"*节加*")</f>
        <v>0</v>
      </c>
      <c r="AJ13" s="46">
        <f t="shared" ref="AJ13:AJ18" si="31">COUNTIF($D13:$AH13,"早")</f>
        <v>0</v>
      </c>
      <c r="AK13" s="46">
        <f t="shared" ref="AK13:AK18" si="32">COUNTIF($D13:$AH13,"晚")</f>
        <v>0</v>
      </c>
      <c r="AL13" s="47">
        <f t="shared" ref="AL13:AL18" si="33">COUNTIF($D13:$AH13,"节加")</f>
        <v>0</v>
      </c>
      <c r="AM13" s="47">
        <f t="shared" ref="AM13:AM18" si="34">COUNTIF($D13:$AH13,"病假")</f>
        <v>0</v>
      </c>
      <c r="AN13" s="47">
        <f t="shared" ref="AN13:AN18" si="35">COUNTIF($D13:$AH13,"事假")</f>
        <v>0</v>
      </c>
      <c r="AO13" s="47">
        <f t="shared" ref="AO13:AO18" si="36">COUNTIF($D13:$AH13,"年休")</f>
        <v>0</v>
      </c>
      <c r="AP13" s="47">
        <f t="shared" ref="AP13:AP18" si="37">COUNTIF($D13:$AH13,"出差")</f>
        <v>0</v>
      </c>
      <c r="AQ13" s="47">
        <f t="shared" ref="AQ13:AQ18" si="38">COUNTIF($D13:$AH13,"补休")</f>
        <v>0</v>
      </c>
      <c r="AR13" s="47">
        <f t="shared" ref="AR13:AR18" si="39">COUNTIF($D13:$AH13,"育儿假")</f>
        <v>0</v>
      </c>
      <c r="AS13" s="47">
        <f t="shared" ref="AS13:AS18" si="40">COUNTIF($D13:$AH13,"婚假")</f>
        <v>0</v>
      </c>
      <c r="AT13" s="47">
        <f t="shared" ref="AT13:AT18" si="41">COUNTIF($D13:$AH13,"陪产假")</f>
        <v>0</v>
      </c>
      <c r="AU13" s="47">
        <f t="shared" ref="AU13:AU18" si="42">COUNTIF($D13:$AH13,"护理假")</f>
        <v>0</v>
      </c>
      <c r="AV13" s="47">
        <f t="shared" ref="AV13:AV18" si="43">COUNTIF($D13:$AH13,"旷工")</f>
        <v>0</v>
      </c>
      <c r="AW13" s="47">
        <f t="shared" ref="AW13:AW18" si="44">COUNTIF($D13:$AH13,"旷工")</f>
        <v>0</v>
      </c>
      <c r="AX13" s="52"/>
      <c r="AY13" s="53"/>
    </row>
    <row r="14" s="4" customFormat="1" ht="27" customHeight="1" spans="1:51">
      <c r="A14" s="14">
        <v>12</v>
      </c>
      <c r="B14" s="27" t="s">
        <v>35</v>
      </c>
      <c r="C14" s="30" t="s">
        <v>34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40"/>
      <c r="R14" s="40"/>
      <c r="S14" s="31"/>
      <c r="T14" s="31"/>
      <c r="U14" s="31"/>
      <c r="V14" s="31"/>
      <c r="W14" s="31"/>
      <c r="X14" s="31"/>
      <c r="Y14" s="40"/>
      <c r="Z14" s="31"/>
      <c r="AA14" s="31"/>
      <c r="AB14" s="31"/>
      <c r="AC14" s="31"/>
      <c r="AD14" s="31"/>
      <c r="AE14" s="40"/>
      <c r="AF14" s="31"/>
      <c r="AG14" s="31"/>
      <c r="AH14" s="31"/>
      <c r="AI14" s="48">
        <f t="shared" si="30"/>
        <v>0</v>
      </c>
      <c r="AJ14" s="46">
        <f t="shared" si="31"/>
        <v>0</v>
      </c>
      <c r="AK14" s="46">
        <f t="shared" si="32"/>
        <v>0</v>
      </c>
      <c r="AL14" s="47">
        <f t="shared" si="33"/>
        <v>0</v>
      </c>
      <c r="AM14" s="47">
        <f t="shared" si="34"/>
        <v>0</v>
      </c>
      <c r="AN14" s="47">
        <f t="shared" si="35"/>
        <v>0</v>
      </c>
      <c r="AO14" s="47">
        <f t="shared" si="36"/>
        <v>0</v>
      </c>
      <c r="AP14" s="47">
        <f t="shared" si="37"/>
        <v>0</v>
      </c>
      <c r="AQ14" s="47">
        <f t="shared" si="38"/>
        <v>0</v>
      </c>
      <c r="AR14" s="47">
        <f t="shared" si="39"/>
        <v>0</v>
      </c>
      <c r="AS14" s="47">
        <f t="shared" si="40"/>
        <v>0</v>
      </c>
      <c r="AT14" s="47">
        <f t="shared" si="41"/>
        <v>0</v>
      </c>
      <c r="AU14" s="47">
        <f t="shared" si="42"/>
        <v>0</v>
      </c>
      <c r="AV14" s="47">
        <f t="shared" si="43"/>
        <v>0</v>
      </c>
      <c r="AW14" s="47">
        <f t="shared" si="44"/>
        <v>0</v>
      </c>
      <c r="AX14" s="52"/>
      <c r="AY14" s="53"/>
    </row>
    <row r="15" s="4" customFormat="1" ht="27" customHeight="1" spans="1:51">
      <c r="A15" s="14">
        <v>13</v>
      </c>
      <c r="B15" s="32" t="s">
        <v>36</v>
      </c>
      <c r="C15" s="33" t="s">
        <v>34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40"/>
      <c r="P15" s="40"/>
      <c r="Q15" s="31"/>
      <c r="R15" s="31"/>
      <c r="S15" s="31"/>
      <c r="T15" s="31"/>
      <c r="U15" s="31"/>
      <c r="V15" s="31"/>
      <c r="W15" s="40"/>
      <c r="X15" s="40"/>
      <c r="Y15" s="31"/>
      <c r="Z15" s="31"/>
      <c r="AA15" s="31"/>
      <c r="AB15" s="31"/>
      <c r="AC15" s="40"/>
      <c r="AD15" s="40"/>
      <c r="AE15" s="31"/>
      <c r="AF15" s="31"/>
      <c r="AG15" s="31"/>
      <c r="AH15" s="31"/>
      <c r="AI15" s="48">
        <f t="shared" si="30"/>
        <v>0</v>
      </c>
      <c r="AJ15" s="46">
        <f t="shared" si="31"/>
        <v>0</v>
      </c>
      <c r="AK15" s="46">
        <f t="shared" si="32"/>
        <v>0</v>
      </c>
      <c r="AL15" s="47">
        <f t="shared" si="33"/>
        <v>0</v>
      </c>
      <c r="AM15" s="47">
        <f t="shared" si="34"/>
        <v>0</v>
      </c>
      <c r="AN15" s="47">
        <f t="shared" si="35"/>
        <v>0</v>
      </c>
      <c r="AO15" s="47">
        <f t="shared" si="36"/>
        <v>0</v>
      </c>
      <c r="AP15" s="47">
        <f t="shared" si="37"/>
        <v>0</v>
      </c>
      <c r="AQ15" s="47">
        <f t="shared" si="38"/>
        <v>0</v>
      </c>
      <c r="AR15" s="47">
        <f t="shared" si="39"/>
        <v>0</v>
      </c>
      <c r="AS15" s="47">
        <f t="shared" si="40"/>
        <v>0</v>
      </c>
      <c r="AT15" s="47">
        <f t="shared" si="41"/>
        <v>0</v>
      </c>
      <c r="AU15" s="47">
        <f t="shared" si="42"/>
        <v>0</v>
      </c>
      <c r="AV15" s="47">
        <f t="shared" si="43"/>
        <v>0</v>
      </c>
      <c r="AW15" s="47">
        <f t="shared" si="44"/>
        <v>0</v>
      </c>
      <c r="AX15" s="52"/>
      <c r="AY15" s="53"/>
    </row>
    <row r="16" s="4" customFormat="1" ht="27" customHeight="1" spans="1:51">
      <c r="A16" s="14">
        <v>14</v>
      </c>
      <c r="B16" s="32" t="s">
        <v>37</v>
      </c>
      <c r="C16" s="30" t="s">
        <v>34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40"/>
      <c r="V16" s="40"/>
      <c r="W16" s="31"/>
      <c r="X16" s="31"/>
      <c r="Y16" s="31"/>
      <c r="Z16" s="31"/>
      <c r="AA16" s="40"/>
      <c r="AB16" s="40"/>
      <c r="AC16" s="31"/>
      <c r="AD16" s="31"/>
      <c r="AE16" s="31"/>
      <c r="AF16" s="31"/>
      <c r="AG16" s="31"/>
      <c r="AH16" s="31"/>
      <c r="AI16" s="48">
        <f t="shared" si="30"/>
        <v>0</v>
      </c>
      <c r="AJ16" s="46">
        <f t="shared" si="31"/>
        <v>0</v>
      </c>
      <c r="AK16" s="46">
        <f t="shared" si="32"/>
        <v>0</v>
      </c>
      <c r="AL16" s="47">
        <f t="shared" si="33"/>
        <v>0</v>
      </c>
      <c r="AM16" s="47">
        <f t="shared" si="34"/>
        <v>0</v>
      </c>
      <c r="AN16" s="47">
        <f t="shared" si="35"/>
        <v>0</v>
      </c>
      <c r="AO16" s="47">
        <f t="shared" si="36"/>
        <v>0</v>
      </c>
      <c r="AP16" s="47">
        <f t="shared" si="37"/>
        <v>0</v>
      </c>
      <c r="AQ16" s="47">
        <f t="shared" si="38"/>
        <v>0</v>
      </c>
      <c r="AR16" s="47">
        <f t="shared" si="39"/>
        <v>0</v>
      </c>
      <c r="AS16" s="47">
        <f t="shared" si="40"/>
        <v>0</v>
      </c>
      <c r="AT16" s="47">
        <f t="shared" si="41"/>
        <v>0</v>
      </c>
      <c r="AU16" s="47">
        <f t="shared" si="42"/>
        <v>0</v>
      </c>
      <c r="AV16" s="47">
        <f t="shared" si="43"/>
        <v>0</v>
      </c>
      <c r="AW16" s="47">
        <f t="shared" si="44"/>
        <v>0</v>
      </c>
      <c r="AX16" s="52"/>
      <c r="AY16" s="53"/>
    </row>
    <row r="17" s="4" customFormat="1" spans="1:51">
      <c r="A17" s="34"/>
      <c r="B17" s="35" t="s">
        <v>38</v>
      </c>
      <c r="C17" s="35" t="s">
        <v>7</v>
      </c>
      <c r="D17" s="36">
        <f t="shared" ref="D17:AH17" si="45">COUNTIF(D3:D16,"早")+COUNTIF(D3:D16,"8")+COUNTIF(D3:D16,"*出差*")+COUNTIF(D3:D16,"*节加*")</f>
        <v>0</v>
      </c>
      <c r="E17" s="36">
        <f t="shared" si="45"/>
        <v>0</v>
      </c>
      <c r="F17" s="36">
        <f t="shared" si="45"/>
        <v>0</v>
      </c>
      <c r="G17" s="36">
        <f t="shared" si="45"/>
        <v>0</v>
      </c>
      <c r="H17" s="36">
        <f t="shared" si="45"/>
        <v>0</v>
      </c>
      <c r="I17" s="36">
        <f t="shared" si="45"/>
        <v>0</v>
      </c>
      <c r="J17" s="36">
        <f t="shared" si="45"/>
        <v>0</v>
      </c>
      <c r="K17" s="36">
        <f t="shared" si="45"/>
        <v>0</v>
      </c>
      <c r="L17" s="36">
        <f t="shared" si="45"/>
        <v>0</v>
      </c>
      <c r="M17" s="36">
        <f t="shared" si="45"/>
        <v>0</v>
      </c>
      <c r="N17" s="36">
        <f t="shared" si="45"/>
        <v>0</v>
      </c>
      <c r="O17" s="36">
        <f t="shared" si="45"/>
        <v>0</v>
      </c>
      <c r="P17" s="36">
        <f t="shared" si="45"/>
        <v>0</v>
      </c>
      <c r="Q17" s="36">
        <f t="shared" si="45"/>
        <v>0</v>
      </c>
      <c r="R17" s="36">
        <f t="shared" si="45"/>
        <v>0</v>
      </c>
      <c r="S17" s="36">
        <f t="shared" si="45"/>
        <v>0</v>
      </c>
      <c r="T17" s="36">
        <f t="shared" si="45"/>
        <v>0</v>
      </c>
      <c r="U17" s="36">
        <f t="shared" si="45"/>
        <v>0</v>
      </c>
      <c r="V17" s="36">
        <f t="shared" si="45"/>
        <v>0</v>
      </c>
      <c r="W17" s="36">
        <f t="shared" si="45"/>
        <v>0</v>
      </c>
      <c r="X17" s="36">
        <f t="shared" si="45"/>
        <v>0</v>
      </c>
      <c r="Y17" s="36">
        <f t="shared" si="45"/>
        <v>0</v>
      </c>
      <c r="Z17" s="36">
        <f t="shared" si="45"/>
        <v>0</v>
      </c>
      <c r="AA17" s="36">
        <f t="shared" si="45"/>
        <v>0</v>
      </c>
      <c r="AB17" s="36">
        <f t="shared" si="45"/>
        <v>0</v>
      </c>
      <c r="AC17" s="36">
        <f t="shared" si="45"/>
        <v>0</v>
      </c>
      <c r="AD17" s="36">
        <f t="shared" si="45"/>
        <v>0</v>
      </c>
      <c r="AE17" s="36">
        <f t="shared" si="45"/>
        <v>0</v>
      </c>
      <c r="AF17" s="36">
        <f t="shared" si="45"/>
        <v>0</v>
      </c>
      <c r="AG17" s="36">
        <f t="shared" si="45"/>
        <v>0</v>
      </c>
      <c r="AH17" s="36">
        <f t="shared" si="45"/>
        <v>0</v>
      </c>
      <c r="AI17" s="49">
        <f>SUM(AI3:AI16)</f>
        <v>0</v>
      </c>
      <c r="AJ17" s="49"/>
      <c r="AK17" s="49"/>
      <c r="AL17" s="49">
        <f t="shared" ref="AL17:AW17" si="46">SUM(AL3:AL16)</f>
        <v>0</v>
      </c>
      <c r="AM17" s="49">
        <f t="shared" si="46"/>
        <v>0</v>
      </c>
      <c r="AN17" s="49">
        <f t="shared" si="46"/>
        <v>0</v>
      </c>
      <c r="AO17" s="49">
        <f t="shared" si="46"/>
        <v>0</v>
      </c>
      <c r="AP17" s="49">
        <f t="shared" si="46"/>
        <v>0</v>
      </c>
      <c r="AQ17" s="49">
        <f t="shared" si="46"/>
        <v>0</v>
      </c>
      <c r="AR17" s="49">
        <f t="shared" si="46"/>
        <v>0</v>
      </c>
      <c r="AS17" s="49">
        <f t="shared" si="46"/>
        <v>0</v>
      </c>
      <c r="AT17" s="49">
        <f t="shared" si="46"/>
        <v>0</v>
      </c>
      <c r="AU17" s="49">
        <f t="shared" si="46"/>
        <v>0</v>
      </c>
      <c r="AV17" s="49">
        <f t="shared" si="46"/>
        <v>0</v>
      </c>
      <c r="AW17" s="49">
        <f t="shared" si="46"/>
        <v>0</v>
      </c>
      <c r="AX17" s="52"/>
      <c r="AY17" s="53"/>
    </row>
    <row r="18" s="4" customFormat="1" spans="1:51">
      <c r="A18" s="34"/>
      <c r="B18" s="35"/>
      <c r="C18" s="35" t="s">
        <v>8</v>
      </c>
      <c r="D18" s="36">
        <f t="shared" ref="D18:AH18" si="47">COUNTIF(D3:D16,"晚")</f>
        <v>0</v>
      </c>
      <c r="E18" s="36">
        <f t="shared" si="47"/>
        <v>0</v>
      </c>
      <c r="F18" s="36">
        <f t="shared" si="47"/>
        <v>0</v>
      </c>
      <c r="G18" s="36">
        <f t="shared" si="47"/>
        <v>0</v>
      </c>
      <c r="H18" s="36">
        <f t="shared" si="47"/>
        <v>0</v>
      </c>
      <c r="I18" s="36">
        <f t="shared" si="47"/>
        <v>0</v>
      </c>
      <c r="J18" s="36">
        <f t="shared" si="47"/>
        <v>0</v>
      </c>
      <c r="K18" s="36">
        <f t="shared" si="47"/>
        <v>0</v>
      </c>
      <c r="L18" s="36">
        <f t="shared" si="47"/>
        <v>0</v>
      </c>
      <c r="M18" s="36">
        <f t="shared" si="47"/>
        <v>0</v>
      </c>
      <c r="N18" s="36">
        <f t="shared" si="47"/>
        <v>0</v>
      </c>
      <c r="O18" s="36">
        <f t="shared" si="47"/>
        <v>0</v>
      </c>
      <c r="P18" s="36">
        <f t="shared" si="47"/>
        <v>0</v>
      </c>
      <c r="Q18" s="36">
        <f t="shared" si="47"/>
        <v>0</v>
      </c>
      <c r="R18" s="36">
        <f t="shared" si="47"/>
        <v>0</v>
      </c>
      <c r="S18" s="36">
        <f t="shared" si="47"/>
        <v>0</v>
      </c>
      <c r="T18" s="36">
        <f t="shared" si="47"/>
        <v>0</v>
      </c>
      <c r="U18" s="36">
        <f t="shared" si="47"/>
        <v>0</v>
      </c>
      <c r="V18" s="36">
        <f t="shared" si="47"/>
        <v>0</v>
      </c>
      <c r="W18" s="36">
        <f t="shared" si="47"/>
        <v>0</v>
      </c>
      <c r="X18" s="36">
        <f t="shared" si="47"/>
        <v>0</v>
      </c>
      <c r="Y18" s="36">
        <f t="shared" si="47"/>
        <v>0</v>
      </c>
      <c r="Z18" s="36">
        <f t="shared" si="47"/>
        <v>0</v>
      </c>
      <c r="AA18" s="36">
        <f t="shared" si="47"/>
        <v>0</v>
      </c>
      <c r="AB18" s="36">
        <f t="shared" si="47"/>
        <v>0</v>
      </c>
      <c r="AC18" s="36">
        <f t="shared" si="47"/>
        <v>0</v>
      </c>
      <c r="AD18" s="36">
        <f t="shared" si="47"/>
        <v>0</v>
      </c>
      <c r="AE18" s="36">
        <f t="shared" si="47"/>
        <v>0</v>
      </c>
      <c r="AF18" s="36">
        <f t="shared" si="47"/>
        <v>0</v>
      </c>
      <c r="AG18" s="36">
        <f t="shared" si="47"/>
        <v>0</v>
      </c>
      <c r="AH18" s="36">
        <f t="shared" si="47"/>
        <v>0</v>
      </c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52"/>
      <c r="AY18" s="53"/>
    </row>
    <row r="19" s="4" customFormat="1" spans="1:51">
      <c r="A19" s="37"/>
      <c r="C19" s="38"/>
      <c r="D19" s="39" t="s">
        <v>39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38"/>
      <c r="AJ19" s="38"/>
      <c r="AK19" s="38"/>
      <c r="AL19" s="37"/>
      <c r="AY19" s="53"/>
    </row>
  </sheetData>
  <autoFilter xmlns:etc="http://www.wps.cn/officeDocument/2017/etCustomData" ref="A2:AY19" etc:filterBottomFollowUsedRange="0">
    <extLst/>
  </autoFilter>
  <mergeCells count="23">
    <mergeCell ref="D1:AG1"/>
    <mergeCell ref="AI1:AW1"/>
    <mergeCell ref="D19:M19"/>
    <mergeCell ref="Y19:AG19"/>
    <mergeCell ref="A1:A2"/>
    <mergeCell ref="A17:A18"/>
    <mergeCell ref="B1:B2"/>
    <mergeCell ref="B17:B18"/>
    <mergeCell ref="C1:C2"/>
    <mergeCell ref="AI17:AI18"/>
    <mergeCell ref="AL17:AL18"/>
    <mergeCell ref="AM17:AM18"/>
    <mergeCell ref="AN17:AN18"/>
    <mergeCell ref="AO17:AO18"/>
    <mergeCell ref="AP17:AP18"/>
    <mergeCell ref="AQ17:AQ18"/>
    <mergeCell ref="AR17:AR18"/>
    <mergeCell ref="AS17:AS18"/>
    <mergeCell ref="AT17:AT18"/>
    <mergeCell ref="AU17:AU18"/>
    <mergeCell ref="AV17:AV18"/>
    <mergeCell ref="AW17:AW18"/>
    <mergeCell ref="AX1:AX2"/>
  </mergeCells>
  <conditionalFormatting sqref="C4">
    <cfRule type="duplicateValues" dxfId="0" priority="9"/>
  </conditionalFormatting>
  <conditionalFormatting sqref="B5:C5">
    <cfRule type="duplicateValues" dxfId="0" priority="14"/>
  </conditionalFormatting>
  <conditionalFormatting sqref="B6:C6">
    <cfRule type="duplicateValues" dxfId="0" priority="13"/>
  </conditionalFormatting>
  <conditionalFormatting sqref="B7:C7">
    <cfRule type="duplicateValues" dxfId="0" priority="12"/>
  </conditionalFormatting>
  <conditionalFormatting sqref="B8:C8">
    <cfRule type="duplicateValues" dxfId="0" priority="2"/>
  </conditionalFormatting>
  <conditionalFormatting sqref="B9:C9">
    <cfRule type="duplicateValues" dxfId="0" priority="18"/>
  </conditionalFormatting>
  <conditionalFormatting sqref="B10:C10">
    <cfRule type="duplicateValues" dxfId="0" priority="17"/>
  </conditionalFormatting>
  <conditionalFormatting sqref="B11:C11">
    <cfRule type="duplicateValues" dxfId="0" priority="16"/>
  </conditionalFormatting>
  <conditionalFormatting sqref="B12:C12">
    <cfRule type="duplicateValues" dxfId="0" priority="1"/>
  </conditionalFormatting>
  <conditionalFormatting sqref="B13:C13">
    <cfRule type="duplicateValues" dxfId="0" priority="11"/>
  </conditionalFormatting>
  <conditionalFormatting sqref="B14">
    <cfRule type="duplicateValues" dxfId="0" priority="7"/>
  </conditionalFormatting>
  <conditionalFormatting sqref="C14">
    <cfRule type="duplicateValues" dxfId="0" priority="6"/>
  </conditionalFormatting>
  <conditionalFormatting sqref="B15">
    <cfRule type="duplicateValues" dxfId="0" priority="8"/>
  </conditionalFormatting>
  <conditionalFormatting sqref="C15">
    <cfRule type="duplicateValues" dxfId="0" priority="5"/>
  </conditionalFormatting>
  <conditionalFormatting sqref="B16">
    <cfRule type="duplicateValues" dxfId="0" priority="4"/>
  </conditionalFormatting>
  <conditionalFormatting sqref="C16">
    <cfRule type="duplicateValues" dxfId="0" priority="3"/>
  </conditionalFormatting>
  <conditionalFormatting sqref="B3:C3 B4">
    <cfRule type="duplicateValues" dxfId="0" priority="15"/>
  </conditionalFormatting>
  <pageMargins left="0.751388888888889" right="0.751388888888889" top="0.393055555555556" bottom="0.393055555555556" header="0.5" footer="0.5"/>
  <pageSetup paperSize="9" scale="70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外包-省综调（入网审核岗考勤）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Jx_H</dc:creator>
  <cp:lastModifiedBy>秦笑乾</cp:lastModifiedBy>
  <dcterms:created xsi:type="dcterms:W3CDTF">2021-12-02T09:34:00Z</dcterms:created>
  <dcterms:modified xsi:type="dcterms:W3CDTF">2026-07-30T07:04:34Z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64A265F72B7E4ECB8E1BE92A7A9958A6_13</vt:lpwstr>
  </property>
  <property fmtid="{D5CDD505-2E9C-101B-9397-08002B2CF9AE}" pid="3" name="KSOProductBuildVer">
    <vt:lpwstr>2052-12.8.2.19315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